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el/IdeaProjects/matsim-example-project/scenarios/testszenario/"/>
    </mc:Choice>
  </mc:AlternateContent>
  <xr:revisionPtr revIDLastSave="0" documentId="13_ncr:1_{FAF1D80F-A997-764C-9EFD-E6D6139B0BF2}" xr6:coauthVersionLast="47" xr6:coauthVersionMax="47" xr10:uidLastSave="{00000000-0000-0000-0000-000000000000}"/>
  <bookViews>
    <workbookView xWindow="12700" yWindow="680" windowWidth="21500" windowHeight="20480" xr2:uid="{D2D53BF3-C64E-0F44-8A9C-97E82D4EA947}"/>
  </bookViews>
  <sheets>
    <sheet name="Tabelle1" sheetId="1" r:id="rId1"/>
  </sheets>
  <externalReferences>
    <externalReference r:id="rId2"/>
  </externalReferenc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1" i="1" l="1"/>
  <c r="C16" i="1"/>
  <c r="G12" i="1"/>
  <c r="F12" i="1"/>
  <c r="E12" i="1"/>
  <c r="G11" i="1"/>
  <c r="G10" i="1"/>
  <c r="E10" i="1"/>
  <c r="G9" i="1"/>
  <c r="E9" i="1"/>
  <c r="C9" i="1"/>
  <c r="G8" i="1"/>
  <c r="E8" i="1"/>
  <c r="D8" i="1"/>
  <c r="G7" i="1"/>
  <c r="E7" i="1"/>
  <c r="G6" i="1"/>
  <c r="F6" i="1"/>
  <c r="E6" i="1"/>
  <c r="G5" i="1"/>
  <c r="F5" i="1"/>
  <c r="E5" i="1"/>
  <c r="D5" i="1"/>
  <c r="G4" i="1"/>
  <c r="F4" i="1"/>
  <c r="E4" i="1"/>
  <c r="C4" i="1"/>
  <c r="G3" i="1"/>
  <c r="E3" i="1"/>
  <c r="D3" i="1"/>
  <c r="G2" i="1"/>
  <c r="F2" i="1"/>
  <c r="E2" i="1"/>
</calcChain>
</file>

<file path=xl/sharedStrings.xml><?xml version="1.0" encoding="utf-8"?>
<sst xmlns="http://schemas.openxmlformats.org/spreadsheetml/2006/main" count="64" uniqueCount="46">
  <si>
    <t>Konstrukt</t>
  </si>
  <si>
    <t>Einheit</t>
  </si>
  <si>
    <t>CA
(Auto, konventionell)</t>
  </si>
  <si>
    <t>PT
(OEPNV)</t>
  </si>
  <si>
    <t>PAV
(privates AV)</t>
  </si>
  <si>
    <t>PSAV
(Shared AV, Ridepooling)</t>
  </si>
  <si>
    <t>SSAV
(Shared AV, Robotaxi solo)</t>
  </si>
  <si>
    <t>Belegstaerke</t>
  </si>
  <si>
    <t>Technologieaffinitaet</t>
  </si>
  <si>
    <t>je SD</t>
  </si>
  <si>
    <t>stark (Richtung), mittel (Modusdifferenzierung PAV vs. SAV)</t>
  </si>
  <si>
    <t>Wahrgenommener Nutzen (PU)</t>
  </si>
  <si>
    <t>stark fuer AV-Modi, keine Belege fuer CA/PT</t>
  </si>
  <si>
    <t>Wahrgen. Nutzungsfreundlichkeit (PEOU)</t>
  </si>
  <si>
    <t>mittel</t>
  </si>
  <si>
    <t>Vertrauen</t>
  </si>
  <si>
    <t>stark</t>
  </si>
  <si>
    <t>Wahrgenommenes Risiko</t>
  </si>
  <si>
    <t>stark, aber ein widersprechender Befund (Huang)</t>
  </si>
  <si>
    <t>Wahrgenommene Sicherheit</t>
  </si>
  <si>
    <t>mittel-stark</t>
  </si>
  <si>
    <t>Umweltbewusstsein</t>
  </si>
  <si>
    <t>Sharing-Bereitschaft</t>
  </si>
  <si>
    <t>Subjektive / soziale Norm</t>
  </si>
  <si>
    <t>Wahrgen. Verhaltenskontrolle (PBC)</t>
  </si>
  <si>
    <t>schwach (keine AVM-spezifische Modusdifferenzierung)</t>
  </si>
  <si>
    <t>Fahrfreude / symb.-affektive Autoaffinitaet</t>
  </si>
  <si>
    <t>mittel (CA/PT), schwach (PAV)</t>
  </si>
  <si>
    <t>beta_Kosten (mittleres Einkommen)</t>
  </si>
  <si>
    <t>je EUR</t>
  </si>
  <si>
    <t>beta_Kosten (hohes Einkommen)</t>
  </si>
  <si>
    <t>beta_Kosten (niedriges Einkommen)</t>
  </si>
  <si>
    <t xml:space="preserve">beta_Fahrzeit </t>
  </si>
  <si>
    <t>je Minute</t>
  </si>
  <si>
    <t xml:space="preserve">Nur Pendelfahrten -&gt; Freizeit/Einkauf auch noch da </t>
  </si>
  <si>
    <t>Verteilung Fahrzeit</t>
  </si>
  <si>
    <t>Dreiecksverteilt</t>
  </si>
  <si>
    <t>fix</t>
  </si>
  <si>
    <t>beta_Wartezeit</t>
  </si>
  <si>
    <t>--</t>
  </si>
  <si>
    <t>Kolarova et al. 2019; fuer alle drei AV-Modi generisch</t>
  </si>
  <si>
    <t>+++</t>
  </si>
  <si>
    <t>---</t>
  </si>
  <si>
    <t>++</t>
  </si>
  <si>
    <t>+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</si>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</sst>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10" x14ac:knownFonts="1">
    <font>
      <sz val="12"/>
      <color theme="1"/>
      <name val="Aptos Narrow"/>
      <family val="2"/>
      <scheme val="minor"/>
    </font>
    <font>
      <sz val="11"/>
      <color theme="1"/>
      <name val="Calibri"/>
      <family val="2"/>
      <charset val="1"/>
    </font>
    <font>
      <b/>
      <sz val="10"/>
      <color rgb="FFFFFFFF"/>
      <name val="Arial"/>
      <family val="2"/>
    </font>
    <font>
      <sz val="10"/>
      <name val="Arial"/>
      <family val="2"/>
    </font>
    <font>
      <sz val="11"/>
      <color rgb="FF808080"/>
      <name val="Arial"/>
      <family val="2"/>
    </font>
    <font>
      <b/>
      <sz val="11"/>
      <color rgb="FF1E7B34"/>
      <name val="Arial"/>
      <family val="2"/>
    </font>
    <font>
      <sz val="9"/>
      <color rgb="FF595959"/>
      <name val="Arial"/>
      <family val="2"/>
    </font>
    <font>
      <b/>
      <sz val="11"/>
      <color rgb="FFB00020"/>
      <name val="Arial"/>
      <family val="2"/>
    </font>
    <font>
      <i/>
      <sz val="9"/>
      <color rgb="FF595959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</borders>
  <cellStyleXfs count="2">
    <xf numFmtId="0" fontId="0" fillId="0" borderId="0"/>
    <xf numFmtId="0" fontId="1" fillId="0" borderId="0"/>
  </cellStyleXfs>
  <cellXfs count="25">
    <xf numFmtId="0" fontId="0" fillId="0" borderId="0" xfId="0"/>
    <xf numFmtId="0" fontId="2" fillId="2" borderId="0" xfId="1" applyFont="1" applyFill="1" applyAlignment="1">
      <alignment vertical="center"/>
    </xf>
    <xf numFmtId="0" fontId="2" fillId="2" borderId="0" xfId="1" applyFont="1" applyFill="1" applyAlignment="1">
      <alignment horizontal="center" vertical="center" wrapText="1"/>
    </xf>
    <xf numFmtId="0" fontId="2" fillId="2" borderId="0" xfId="1" applyFont="1" applyFill="1" applyAlignment="1">
      <alignment horizontal="left" vertical="center" wrapText="1"/>
    </xf>
    <xf numFmtId="0" fontId="3" fillId="0" borderId="1" xfId="1" applyFont="1" applyBorder="1" applyAlignment="1">
      <alignment vertical="center" wrapText="1"/>
    </xf>
    <xf numFmtId="0" fontId="3" fillId="0" borderId="2" xfId="0" applyFont="1" applyBorder="1"/>
    <xf numFmtId="0" fontId="4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vertical="center" wrapText="1"/>
    </xf>
    <xf numFmtId="0" fontId="3" fillId="3" borderId="1" xfId="1" applyFont="1" applyFill="1" applyBorder="1" applyAlignment="1">
      <alignment vertical="center" wrapText="1"/>
    </xf>
    <xf numFmtId="0" fontId="4" fillId="3" borderId="1" xfId="1" applyFont="1" applyFill="1" applyBorder="1" applyAlignment="1">
      <alignment horizontal="center" vertical="center"/>
    </xf>
    <xf numFmtId="0" fontId="5" fillId="3" borderId="1" xfId="1" applyFont="1" applyFill="1" applyBorder="1" applyAlignment="1">
      <alignment horizontal="center" vertical="center"/>
    </xf>
    <xf numFmtId="0" fontId="6" fillId="3" borderId="1" xfId="1" applyFont="1" applyFill="1" applyBorder="1" applyAlignment="1">
      <alignment vertical="center" wrapText="1"/>
    </xf>
    <xf numFmtId="0" fontId="7" fillId="0" borderId="1" xfId="1" applyFont="1" applyBorder="1" applyAlignment="1">
      <alignment horizontal="center" vertical="center"/>
    </xf>
    <xf numFmtId="0" fontId="7" fillId="3" borderId="1" xfId="1" applyFont="1" applyFill="1" applyBorder="1" applyAlignment="1">
      <alignment horizontal="center" vertical="center"/>
    </xf>
    <xf numFmtId="164" fontId="3" fillId="0" borderId="1" xfId="0" applyNumberFormat="1" applyFont="1" applyBorder="1"/>
    <xf numFmtId="0" fontId="8" fillId="0" borderId="2" xfId="0" applyFont="1" applyBorder="1" applyAlignment="1">
      <alignment vertical="top" wrapText="1"/>
    </xf>
    <xf numFmtId="164" fontId="3" fillId="0" borderId="2" xfId="0" applyNumberFormat="1" applyFont="1" applyBorder="1"/>
    <xf numFmtId="165" fontId="3" fillId="0" borderId="1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1" fillId="0" borderId="0" xfId="1"/>
    <xf numFmtId="0" fontId="1" fillId="0" borderId="0" xfId="1" quotePrefix="1"/>
    <xf numFmtId="0" fontId="9" fillId="0" borderId="0" xfId="0" applyFont="1"/>
    <xf numFmtId="2" fontId="9" fillId="0" borderId="0" xfId="0" applyNumberFormat="1" applyFont="1" applyAlignment="1">
      <alignment horizontal="center"/>
    </xf>
    <xf numFmtId="2" fontId="9" fillId="0" borderId="0" xfId="0" quotePrefix="1" applyNumberFormat="1" applyFont="1" applyAlignment="1">
      <alignment horizontal="center"/>
    </xf>
  </cellXfs>
  <cellStyles count="2">
    <cellStyle name="Standard" xfId="0" builtinId="0"/>
    <cellStyle name="Standard 2" xfId="1" xr:uid="{AA1F18F1-4F9A-C942-B63E-DE0E3B900C7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92aa0fed2d7d073b/Dokumente/erkenntinsse_SLR_.xlsx" TargetMode="External"/><Relationship Id="rId1" Type="http://schemas.openxmlformats.org/officeDocument/2006/relationships/externalLinkPath" Target="https://d.docs.live.net/92aa0fed2d7d073b/Dokumente/erkenntinsse_SLR_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es_mich"/>
      <sheetName val="Nach_Themen"/>
      <sheetName val="Themen_Zusammenfassung"/>
      <sheetName val="Erkenntnis_1_Spalte"/>
      <sheetName val="Erkenntnisse"/>
      <sheetName val="Original (unverändert)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60C6790-C373-404E-B65B-52CFCA6F0248}">
  <we:reference id="wa200009404" version="1.0.0.8" store="de-DE" storeType="OMEX"/>
  <we:alternateReferences>
    <we:reference id="WA200009404" version="1.0.0.8" store="" storeType="OMEX"/>
  </we:alternateReferences>
  <we:properties>
    <we:property name="claude.fileId" value="&quot;3b81b047-cbfb-4825-9a6d-27a212dcf5e6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B37D5553-6DC7-B641-A38D-8FE4527E225F}">
  <dimension ref="A1:N24"/>
  <sheetViews>
    <sheetView tabSelected="1" zoomScale="90" workbookViewId="0">
      <pane ySplit="1" topLeftCell="A4" activePane="bottomLeft" state="frozen"/>
      <selection pane="bottomLeft" activeCell="J7" sqref="J7"/>
    </sheetView>
  </sheetViews>
  <sheetFormatPr baseColWidth="10" defaultRowHeight="16" ns3:dyDescent="0.2"/>
  <cols>
    <col min="1" max="1" width="18.6640625" customWidth="1"/>
  </cols>
  <sheetData>
    <row r="1" spans="1:14" ht="56" ns3:dyDescent="0.2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K1" s="21" t="s">
        <v>41</v>
      </c>
      <c r="L1" s="20">
        <v>0.4</v>
      </c>
      <c r="M1" s="21" t="s">
        <v>42</v>
      </c>
      <c r="N1" s="20">
        <v>-0.4</v>
      </c>
    </row>
    <row r="2" spans="1:14" ht="78" ns3:dyDescent="0.2">
      <c r="A2" s="4" t="s">
        <v>8</v>
      </c>
      <c r="B2" s="5" t="s">
        <v>9</v>
      </c>
      <c r="C2" s="6">
        <v>0</v>
      </c>
      <c r="D2" s="6">
        <v>0</v>
      </c>
      <c r="E2" s="7">
        <f>$L$3</f>
        <v>0.1</v>
      </c>
      <c r="F2" s="7">
        <f>$L$1</f>
        <v>0.4</v>
      </c>
      <c r="G2" s="7">
        <f>$L$2</f>
        <v>0.2</v>
      </c>
      <c r="H2" s="8" t="s">
        <v>10</v>
      </c>
      <c r="K2" s="21" t="s">
        <v>43</v>
      </c>
      <c r="L2" s="20">
        <v>0.2</v>
      </c>
      <c r="M2" s="21" t="s">
        <v>39</v>
      </c>
      <c r="N2" s="20">
        <v>-0.2</v>
      </c>
    </row>
    <row r="3" spans="1:14" ns3:dyDescent="0.2">
      <c r="A3" s="4" t="s">
        <v>21</v>
      </c>
      <c r="B3" s="5" t="s">
        <v>9</v>
      </c>
      <c r="C3" s="6">
        <v>0</v>
      </c>
      <c r="D3" s="7">
        <f>$L$3</f>
        <v>0.1</v>
      </c>
      <c r="E3" s="7">
        <f>$L$2</f>
        <v>0.2</v>
      </c>
      <c r="F3" s="6">
        <v>0</v>
      </c>
      <c r="G3" s="7">
        <f>$L$3</f>
        <v>0.1</v>
      </c>
      <c r="H3" s="8" t="s">
        <v>14</v>
      </c>
      <c r="K3" s="21" t="s">
        <v>44</v>
      </c>
      <c r="L3" s="20">
        <v>0.1</v>
      </c>
      <c r="M3" s="21" t="s">
        <v>45</v>
      </c>
      <c r="N3" s="20">
        <v>-0.1</v>
      </c>
    </row>
    <row r="4" spans="1:14" ns3:dyDescent="0.2">
      <c r="A4" s="9" t="s">
        <v>22</v>
      </c>
      <c r="B4" s="5" t="s">
        <v>9</v>
      </c>
      <c r="C4" s="14">
        <f>$N$2</f>
        <v>-0.2</v>
      </c>
      <c r="D4" s="10">
        <v>0</v>
      </c>
      <c r="E4" s="14">
        <f>$N$1</f>
        <v>-0.4</v>
      </c>
      <c r="F4" s="11">
        <f>$L$2</f>
        <v>0.2</v>
      </c>
      <c r="G4" s="11">
        <f>$L$1</f>
        <v>0.4</v>
      </c>
      <c r="H4" s="12" t="s">
        <v>16</v>
      </c>
      <c r="K4" s="20"/>
      <c r="L4" s="20"/>
    </row>
    <row r="5" spans="1:14" ht="52" ns3:dyDescent="0.2">
      <c r="A5" s="9" t="s">
        <v>26</v>
      </c>
      <c r="B5" s="5" t="s">
        <v>9</v>
      </c>
      <c r="C5" s="10">
        <v>0</v>
      </c>
      <c r="D5" s="14">
        <f>$N$2</f>
        <v>-0.2</v>
      </c>
      <c r="E5" s="14">
        <f>$N$3</f>
        <v>-0.1</v>
      </c>
      <c r="F5" s="14">
        <f>$N$2</f>
        <v>-0.2</v>
      </c>
      <c r="G5" s="14">
        <f>$N$2</f>
        <v>-0.2</v>
      </c>
      <c r="H5" s="12" t="s">
        <v>27</v>
      </c>
    </row>
    <row r="6" spans="1:14" ht="52" ns3:dyDescent="0.2">
      <c r="A6" s="9" t="s">
        <v>11</v>
      </c>
      <c r="B6" s="5" t="s">
        <v>9</v>
      </c>
      <c r="C6" s="10">
        <v>0</v>
      </c>
      <c r="D6" s="10">
        <v>0</v>
      </c>
      <c r="E6" s="11">
        <f>$L$2</f>
        <v>0.2</v>
      </c>
      <c r="F6" s="11">
        <f>$L$2</f>
        <v>0.2</v>
      </c>
      <c r="G6" s="11">
        <f>$L$1</f>
        <v>0.4</v>
      </c>
      <c r="H6" s="12" t="s">
        <v>12</v>
      </c>
    </row>
    <row r="7" spans="1:14" ht="42" ns3:dyDescent="0.2">
      <c r="A7" s="4" t="s">
        <v>13</v>
      </c>
      <c r="B7" s="5" t="s">
        <v>9</v>
      </c>
      <c r="C7" s="6">
        <v>0</v>
      </c>
      <c r="D7" s="6">
        <v>0</v>
      </c>
      <c r="E7" s="7">
        <f>$L$3</f>
        <v>0.1</v>
      </c>
      <c r="F7" s="6">
        <v>0</v>
      </c>
      <c r="G7" s="7">
        <f>$L$3</f>
        <v>0.1</v>
      </c>
      <c r="H7" s="8" t="s">
        <v>14</v>
      </c>
    </row>
    <row r="8" spans="1:14" ns3:dyDescent="0.2">
      <c r="A8" s="9" t="s">
        <v>15</v>
      </c>
      <c r="B8" s="5" t="s">
        <v>9</v>
      </c>
      <c r="C8" s="10">
        <v>0</v>
      </c>
      <c r="D8" s="11">
        <f>$L$1</f>
        <v>0.4</v>
      </c>
      <c r="E8" s="11">
        <f>$L$1</f>
        <v>0.4</v>
      </c>
      <c r="F8" s="10">
        <v>0</v>
      </c>
      <c r="G8" s="11">
        <f>$L$1</f>
        <v>0.4</v>
      </c>
      <c r="H8" s="12" t="s">
        <v>16</v>
      </c>
    </row>
    <row r="9" spans="1:14" ht="28" ns3:dyDescent="0.2">
      <c r="A9" s="9" t="s">
        <v>19</v>
      </c>
      <c r="B9" s="5" t="s">
        <v>9</v>
      </c>
      <c r="C9" s="11">
        <f>$L$1</f>
        <v>0.4</v>
      </c>
      <c r="D9" s="10">
        <v>0</v>
      </c>
      <c r="E9" s="11">
        <f>$L$2</f>
        <v>0.2</v>
      </c>
      <c r="F9" s="10">
        <v>0</v>
      </c>
      <c r="G9" s="11">
        <f>$L$1</f>
        <v>0.4</v>
      </c>
      <c r="H9" s="12" t="s">
        <v>20</v>
      </c>
    </row>
    <row r="10" spans="1:14" ht="65" ns3:dyDescent="0.2">
      <c r="A10" s="4" t="s">
        <v>17</v>
      </c>
      <c r="B10" s="5" t="s">
        <v>9</v>
      </c>
      <c r="C10" s="6">
        <v>0</v>
      </c>
      <c r="D10" s="6">
        <v>0</v>
      </c>
      <c r="E10" s="13">
        <f>$N$2</f>
        <v>-0.2</v>
      </c>
      <c r="F10" s="6">
        <v>0</v>
      </c>
      <c r="G10" s="13">
        <f>$N$2</f>
        <v>-0.2</v>
      </c>
      <c r="H10" s="8" t="s">
        <v>18</v>
      </c>
    </row>
    <row r="11" spans="1:14" ht="65" ns3:dyDescent="0.2">
      <c r="A11" s="9" t="s">
        <v>24</v>
      </c>
      <c r="B11" s="5" t="s">
        <v>9</v>
      </c>
      <c r="C11" s="10">
        <v>0</v>
      </c>
      <c r="D11" s="10">
        <v>0</v>
      </c>
      <c r="E11" s="11">
        <f>$L$2</f>
        <v>0.2</v>
      </c>
      <c r="F11" s="10">
        <v>0</v>
      </c>
      <c r="G11" s="11">
        <f>$L$1</f>
        <v>0.4</v>
      </c>
      <c r="H11" s="12" t="s">
        <v>25</v>
      </c>
    </row>
    <row r="12" spans="1:14" ht="28" ns3:dyDescent="0.2">
      <c r="A12" s="4" t="s">
        <v>23</v>
      </c>
      <c r="B12" s="5" t="s">
        <v>9</v>
      </c>
      <c r="C12" s="6">
        <v>0</v>
      </c>
      <c r="D12" s="6">
        <v>0</v>
      </c>
      <c r="E12" s="7">
        <f>$L$2</f>
        <v>0.2</v>
      </c>
      <c r="F12" s="7">
        <f>$L$1</f>
        <v>0.4</v>
      </c>
      <c r="G12" s="7">
        <f>$L$1</f>
        <v>0.4</v>
      </c>
      <c r="H12" s="8" t="s">
        <v>20</v>
      </c>
    </row>
    <row r="13" spans="1:14" ns3:dyDescent="0.2">
      <c r="A13" s="5" t="s">
        <v>28</v>
      </c>
      <c r="B13" s="5" t="s">
        <v>29</v>
      </c>
      <c r="C13" s="15">
        <v>-0.80600000000000005</v>
      </c>
      <c r="D13" s="15">
        <v>-0.80600000000000005</v>
      </c>
      <c r="E13" s="15">
        <v>-0.80600000000000005</v>
      </c>
      <c r="F13" s="15">
        <v>-0.80600000000000005</v>
      </c>
      <c r="G13" s="15">
        <v>-0.80600000000000005</v>
      </c>
      <c r="H13" s="16"/>
    </row>
    <row r="14" spans="1:14" ns3:dyDescent="0.2">
      <c r="A14" s="5" t="s">
        <v>30</v>
      </c>
      <c r="B14" s="5" t="s">
        <v>29</v>
      </c>
      <c r="C14" s="15">
        <v>-0.56100000000000005</v>
      </c>
      <c r="D14" s="15">
        <v>-0.56100000000000005</v>
      </c>
      <c r="E14" s="15">
        <v>-0.56100000000000005</v>
      </c>
      <c r="F14" s="15">
        <v>-0.56100000000000005</v>
      </c>
      <c r="G14" s="15">
        <v>-0.56100000000000005</v>
      </c>
      <c r="H14" s="16"/>
    </row>
    <row r="15" spans="1:14" ns3:dyDescent="0.2">
      <c r="A15" s="5" t="s">
        <v>31</v>
      </c>
      <c r="B15" s="5" t="s">
        <v>29</v>
      </c>
      <c r="C15" s="15">
        <v>-0.99099999999999999</v>
      </c>
      <c r="D15" s="15">
        <v>-0.99099999999999999</v>
      </c>
      <c r="E15" s="15">
        <v>-0.99099999999999999</v>
      </c>
      <c r="F15" s="15">
        <v>-0.99099999999999999</v>
      </c>
      <c r="G15" s="15">
        <v>-0.99099999999999999</v>
      </c>
      <c r="H15" s="16"/>
    </row>
    <row r="16" spans="1:14" ht="78" ns3:dyDescent="0.2">
      <c r="A16" s="5" t="s">
        <v>32</v>
      </c>
      <c r="B16" s="5" t="s">
        <v>33</v>
      </c>
      <c r="C16" s="17">
        <f>[1]Themen_Zusammenfassung!$E$4</f>
        <v>0</v>
      </c>
      <c r="D16" s="17">
        <v>-5.7700000000000001E-2</v>
      </c>
      <c r="E16" s="17">
        <v>-6.2100000000000002E-2</v>
      </c>
      <c r="F16" s="17">
        <v>-0.11</v>
      </c>
      <c r="G16" s="17">
        <v>-0.10299999999999999</v>
      </c>
      <c r="H16" s="16" t="s">
        <v>34</v>
      </c>
    </row>
    <row r="17" spans="1:8" ns3:dyDescent="0.2">
      <c r="A17" s="5" t="s">
        <v>35</v>
      </c>
      <c r="B17" s="5" t="s">
        <v>36</v>
      </c>
      <c r="C17" s="17" t="s">
        <v>37</v>
      </c>
      <c r="D17" s="17">
        <v>3.9E-2</v>
      </c>
      <c r="E17" s="17">
        <v>6.3E-2</v>
      </c>
      <c r="F17" s="18">
        <v>3.9E-2</v>
      </c>
      <c r="G17" s="17" t="s">
        <v>37</v>
      </c>
      <c r="H17" s="16"/>
    </row>
    <row r="18" spans="1:8" ht="65" ns3:dyDescent="0.2">
      <c r="A18" s="5" t="s">
        <v>38</v>
      </c>
      <c r="B18" s="5" t="s">
        <v>33</v>
      </c>
      <c r="C18" s="19" t="s">
        <v>39</v>
      </c>
      <c r="D18" s="17">
        <v>-8.7999999999999995E-2</v>
      </c>
      <c r="E18" s="17">
        <v>-0.112</v>
      </c>
      <c r="F18" s="17">
        <v>-0.112</v>
      </c>
      <c r="G18" s="17">
        <v>-0.112</v>
      </c>
      <c r="H18" s="16" t="s">
        <v>40</v>
      </c>
    </row>
    <row r="19" spans="1:8" ns3:dyDescent="0.2">
      <c r="A19" s="22"/>
      <c r="B19" s="5"/>
      <c r="C19" s="19"/>
      <c r="D19" s="17"/>
      <c r="E19" s="17"/>
      <c r="F19" s="17"/>
      <c r="G19" s="17"/>
      <c r="H19" s="16"/>
    </row>
    <row r="20" spans="1:8" ns3:dyDescent="0.2">
      <c r="C20" s="23"/>
      <c r="D20" s="24"/>
      <c r="E20" s="24"/>
      <c r="F20" s="24"/>
      <c r="G20" s="24"/>
      <c r="H20" s="20"/>
    </row>
    <row r="21" spans="1:8" ns3:dyDescent="0.2">
      <c r="A21" s="22"/>
      <c r="C21" s="24"/>
      <c r="D21" s="23"/>
      <c r="E21" s="24"/>
      <c r="F21" s="24"/>
      <c r="G21" s="24"/>
      <c r="H21" s="20"/>
    </row>
    <row r="22" spans="1:8" ns3:dyDescent="0.2">
      <c r="A22" s="22"/>
      <c r="C22" s="23"/>
      <c r="D22" s="23"/>
      <c r="E22" s="23"/>
      <c r="F22" s="23"/>
      <c r="G22" s="23"/>
      <c r="H22" s="16"/>
    </row>
    <row r="23" spans="1:8" ns3:dyDescent="0.2">
      <c r="A23" s="22"/>
      <c r="C23" s="23"/>
      <c r="D23" s="23"/>
      <c r="E23" s="23"/>
      <c r="F23" s="23"/>
      <c r="G23" s="23"/>
    </row>
    <row r="24" spans="1:8" ns3:dyDescent="0.2">
      <c r="A24" s="22"/>
      <c r="C24" s="23"/>
      <c r="D24" s="23"/>
      <c r="E24" s="23"/>
      <c r="F24" s="23"/>
      <c r="G24" s="23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Meier</dc:creator>
  <cp:lastModifiedBy>Henry Meier</cp:lastModifiedBy>
  <dcterms:created xsi:type="dcterms:W3CDTF">2026-08-12T23:13:02Z</dcterms:created>
  <dcterms:modified xsi:type="dcterms:W3CDTF">2026-08-24T20:37:42Z</dcterms:modified>
</cp:coreProperties>
</file>