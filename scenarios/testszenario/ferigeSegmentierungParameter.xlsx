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l/IdeaProjects/matsim-example-project/scenarios/testszenario/"/>
    </mc:Choice>
  </mc:AlternateContent>
  <xr:revisionPtr revIDLastSave="0" documentId="13_ncr:1_{544AF80D-576D-A546-91FB-42BA1F4BC1B4}" xr6:coauthVersionLast="47" xr6:coauthVersionMax="47" xr10:uidLastSave="{00000000-0000-0000-0000-000000000000}"/>
  <bookViews>
    <workbookView xWindow="0" yWindow="680" windowWidth="15920" windowHeight="21460" xr2:uid="{9607306B-5BD0-464C-922F-AC958A701ECA}"/>
  </bookViews>
  <sheets>
    <sheet name="Tabelle1" sheetId="2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4" i="2" l="1"/>
  <c r="N4" i="2"/>
  <c r="L4" i="2"/>
  <c r="J4" i="2"/>
  <c r="H4" i="2"/>
  <c r="F4" i="2"/>
  <c r="D4" i="2"/>
  <c r="B4" i="2"/>
</calcChain>
</file>

<file path=xl/sharedStrings.xml><?xml version="1.0" encoding="utf-8"?>
<sst xmlns="http://schemas.openxmlformats.org/spreadsheetml/2006/main" count="38" uniqueCount="24">
  <si>
    <t>M</t>
  </si>
  <si>
    <t>SD</t>
  </si>
  <si>
    <t>N (gesamt 86.498)</t>
  </si>
  <si>
    <t>Wahrgenommener Nutzen (PU)</t>
  </si>
  <si>
    <t>Wahrgen. Nutzungsfreundlichkeit (PEOU)</t>
  </si>
  <si>
    <t>Vertrauen</t>
  </si>
  <si>
    <t>Wahrgen. Verhaltenskontrolle (PBC)</t>
  </si>
  <si>
    <t>Subjektive / soziale Norm</t>
  </si>
  <si>
    <t>Mobilitätsbezogene Technologieaffinität</t>
  </si>
  <si>
    <t>Konstrukt</t>
  </si>
  <si>
    <t>Cluster 1:
Der multioptionale Urbanist</t>
  </si>
  <si>
    <t>Cluster 2:
Der aktive Ältere</t>
  </si>
  <si>
    <t>Cluster 3:
Der pragmatische Urbanist</t>
  </si>
  <si>
    <t>Cluster 4:
Der ÖPNV-Gebundene</t>
  </si>
  <si>
    <t>Cluster 5:
Das Familienmitglied (mit Kindern)</t>
  </si>
  <si>
    <t>Cluster 6:
Der Hochmobile</t>
  </si>
  <si>
    <t>Cluster 7:
Der inaktive Ältere</t>
  </si>
  <si>
    <t>Cluster 8:
Der Ländliche</t>
  </si>
  <si>
    <t>Anteil an Stichprobe</t>
  </si>
  <si>
    <t>Umweltbewusstsein</t>
  </si>
  <si>
    <t>Sharing-Bereitschaft</t>
  </si>
  <si>
    <t>Fahrfreude / Auto-Affinität</t>
  </si>
  <si>
    <t>Wahrgenommene Sicherheit</t>
  </si>
  <si>
    <t>Wahrgenommenes Risiko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</si>
</sst>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EDEDED"/>
      </patternFill>
    </fill>
    <fill>
      <patternFill patternType="solid">
        <fgColor theme="5" tint="0.59999389629810485"/>
        <b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4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10" fontId="2" fillId="4" borderId="1" xfId="0" applyNumberFormat="1" applyFont="1" applyFill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</cellXfs>
  <cellStyles count="2">
    <cellStyle name="Standard" xfId="0" builtinId="0"/>
    <cellStyle name="Standard 2" xfId="1" xr:uid="{FDD6B27C-D8C7-7B44-A333-E6E1DF6335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68D1B53-69ED-BC40-8DB9-8C7AD734BEFC}">
  <we:reference id="wa200009404" version="1.0.0.8" store="de-DE" storeType="OMEX"/>
  <we:alternateReferences>
    <we:reference id="wa200009404" version="1.0.0.8" store="de-DE" storeType="OMEX"/>
  </we:alternateReferences>
  <we:properties>
    <we:property name="claude.fileId" value="&quot;bf1f61ce-e23c-4b54-8bd9-76feb03c3302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A7BE7-D469-C742-BBFD-5575FC4381CE}">
  <dimension ref="A1:Q15"/>
  <sheetViews>
    <sheetView tabSelected="1" workbookViewId="0">
      <selection activeCell="Q24" sqref="Q24"/>
    </sheetView>
  </sheetViews>
  <sheetFormatPr baseColWidth="10" defaultRowHeight="16" x14ac:dyDescent="0.2"/>
  <sheetData>
    <row r="1" spans="1:17" x14ac:dyDescent="0.2">
      <c r="A1" s="2" t="s">
        <v>9</v>
      </c>
      <c r="B1" s="3" t="s">
        <v>10</v>
      </c>
      <c r="C1" s="3"/>
      <c r="D1" s="3" t="s">
        <v>11</v>
      </c>
      <c r="E1" s="3"/>
      <c r="F1" s="3" t="s">
        <v>12</v>
      </c>
      <c r="G1" s="3"/>
      <c r="H1" s="3" t="s">
        <v>13</v>
      </c>
      <c r="I1" s="3"/>
      <c r="J1" s="3" t="s">
        <v>14</v>
      </c>
      <c r="K1" s="3"/>
      <c r="L1" s="3" t="s">
        <v>15</v>
      </c>
      <c r="M1" s="3"/>
      <c r="N1" s="3" t="s">
        <v>16</v>
      </c>
      <c r="O1" s="3"/>
      <c r="P1" s="3" t="s">
        <v>17</v>
      </c>
      <c r="Q1" s="3"/>
    </row>
    <row r="2" spans="1:17" x14ac:dyDescent="0.2">
      <c r="A2" s="2"/>
      <c r="B2" s="4" t="s">
        <v>0</v>
      </c>
      <c r="C2" s="4" t="s">
        <v>1</v>
      </c>
      <c r="D2" s="4" t="s">
        <v>0</v>
      </c>
      <c r="E2" s="4" t="s">
        <v>1</v>
      </c>
      <c r="F2" s="4" t="s">
        <v>0</v>
      </c>
      <c r="G2" s="4" t="s">
        <v>1</v>
      </c>
      <c r="H2" s="4" t="s">
        <v>0</v>
      </c>
      <c r="I2" s="4" t="s">
        <v>1</v>
      </c>
      <c r="J2" s="4" t="s">
        <v>0</v>
      </c>
      <c r="K2" s="4" t="s">
        <v>1</v>
      </c>
      <c r="L2" s="4" t="s">
        <v>0</v>
      </c>
      <c r="M2" s="4" t="s">
        <v>1</v>
      </c>
      <c r="N2" s="4" t="s">
        <v>0</v>
      </c>
      <c r="O2" s="4" t="s">
        <v>1</v>
      </c>
      <c r="P2" s="4" t="s">
        <v>0</v>
      </c>
      <c r="Q2" s="4" t="s">
        <v>1</v>
      </c>
    </row>
    <row r="3" spans="1:17" ht="28" x14ac:dyDescent="0.2">
      <c r="A3" s="5" t="s">
        <v>2</v>
      </c>
      <c r="B3" s="6">
        <v>2244</v>
      </c>
      <c r="C3" s="6"/>
      <c r="D3" s="6">
        <v>21892</v>
      </c>
      <c r="E3" s="6"/>
      <c r="F3" s="6">
        <v>16314</v>
      </c>
      <c r="G3" s="6"/>
      <c r="H3" s="6">
        <v>5416</v>
      </c>
      <c r="I3" s="6"/>
      <c r="J3" s="6">
        <v>8992</v>
      </c>
      <c r="K3" s="6"/>
      <c r="L3" s="6">
        <v>4001</v>
      </c>
      <c r="M3" s="6"/>
      <c r="N3" s="6">
        <v>10425</v>
      </c>
      <c r="O3" s="6"/>
      <c r="P3" s="6">
        <v>17214</v>
      </c>
      <c r="Q3" s="6"/>
    </row>
    <row r="4" spans="1:17" ht="28" x14ac:dyDescent="0.2">
      <c r="A4" s="5" t="s">
        <v>18</v>
      </c>
      <c r="B4" s="7">
        <f>B3/(B3+D3+F3+H3+J3+L3+N3+P3)</f>
        <v>2.5942796365233878E-2</v>
      </c>
      <c r="C4" s="7"/>
      <c r="D4" s="7">
        <f>D3/(B3+D3+F3+H3+J3+L3+N3+P3)</f>
        <v>0.25309255705334227</v>
      </c>
      <c r="E4" s="7"/>
      <c r="F4" s="7">
        <f>F3/(B3+D3+F3+H3+J3+L3+N3+P3)</f>
        <v>0.18860551689056396</v>
      </c>
      <c r="G4" s="7"/>
      <c r="H4" s="7">
        <f>H3/(B3+D3+F3+H3+J3+L3+N3+P3)</f>
        <v>6.261416448935235E-2</v>
      </c>
      <c r="I4" s="7"/>
      <c r="J4" s="7">
        <f>J3/(B3+D3+F3+H3+J3+L3+N3+P3)</f>
        <v>0.10395616083608869</v>
      </c>
      <c r="K4" s="7"/>
      <c r="L4" s="7">
        <f>L3/(B3+D3+F3+H3+J3+L3+N3+P3)</f>
        <v>4.6255404749242758E-2</v>
      </c>
      <c r="M4" s="7"/>
      <c r="N4" s="7">
        <f>N3/(B3+D3+F3+H3+J3+L3+N3+P3)</f>
        <v>0.12052301787324562</v>
      </c>
      <c r="O4" s="7"/>
      <c r="P4" s="7">
        <f>P3/(B3+D3+F3+H3+J3+L3+N3+P3)</f>
        <v>0.19901038174293048</v>
      </c>
      <c r="Q4" s="7"/>
    </row>
    <row r="5" spans="1:17" ht="56" x14ac:dyDescent="0.2">
      <c r="A5" s="1" t="s">
        <v>8</v>
      </c>
      <c r="B5" s="8">
        <v>0.61</v>
      </c>
      <c r="C5" s="8">
        <v>1.1100000000000001</v>
      </c>
      <c r="D5" s="8">
        <v>-0.42</v>
      </c>
      <c r="E5" s="8">
        <v>0.91</v>
      </c>
      <c r="F5" s="8">
        <v>0.34</v>
      </c>
      <c r="G5" s="8">
        <v>0.96</v>
      </c>
      <c r="H5" s="8">
        <v>-0.02</v>
      </c>
      <c r="I5" s="8">
        <v>0.97</v>
      </c>
      <c r="J5" s="8">
        <v>0.28999999999999998</v>
      </c>
      <c r="K5" s="8">
        <v>0.95</v>
      </c>
      <c r="L5" s="8">
        <v>0.19</v>
      </c>
      <c r="M5" s="8">
        <v>0.99</v>
      </c>
      <c r="N5" s="8">
        <v>-0.37</v>
      </c>
      <c r="O5" s="8">
        <v>1.02</v>
      </c>
      <c r="P5" s="8">
        <v>0.17</v>
      </c>
      <c r="Q5" s="8">
        <v>0.88</v>
      </c>
    </row>
    <row r="6" spans="1:17" ht="28" x14ac:dyDescent="0.2">
      <c r="A6" s="9" t="s">
        <v>19</v>
      </c>
      <c r="B6" s="8">
        <v>0.68</v>
      </c>
      <c r="C6" s="8">
        <v>1.02</v>
      </c>
      <c r="D6" s="8">
        <v>-0.37</v>
      </c>
      <c r="E6" s="8">
        <v>0.66</v>
      </c>
      <c r="F6" s="8">
        <v>0.81</v>
      </c>
      <c r="G6" s="8">
        <v>1.01</v>
      </c>
      <c r="H6" s="8">
        <v>0.96</v>
      </c>
      <c r="I6" s="8">
        <v>1.1399999999999999</v>
      </c>
      <c r="J6" s="8">
        <v>-0.23</v>
      </c>
      <c r="K6" s="8">
        <v>0.84</v>
      </c>
      <c r="L6" s="8">
        <v>-0.03</v>
      </c>
      <c r="M6" s="8">
        <v>0.91</v>
      </c>
      <c r="N6" s="8">
        <v>-0.24</v>
      </c>
      <c r="O6" s="8">
        <v>0.9</v>
      </c>
      <c r="P6" s="8">
        <v>-0.42</v>
      </c>
      <c r="Q6" s="8">
        <v>0.72</v>
      </c>
    </row>
    <row r="7" spans="1:17" ht="42" x14ac:dyDescent="0.2">
      <c r="A7" s="9" t="s">
        <v>20</v>
      </c>
      <c r="B7" s="8">
        <v>5.75</v>
      </c>
      <c r="C7" s="8">
        <v>1.93</v>
      </c>
      <c r="D7" s="8">
        <v>-0.16</v>
      </c>
      <c r="E7" s="8">
        <v>0.12</v>
      </c>
      <c r="F7" s="8">
        <v>-0.11</v>
      </c>
      <c r="G7" s="8">
        <v>0.08</v>
      </c>
      <c r="H7" s="8">
        <v>-0.15</v>
      </c>
      <c r="I7" s="8">
        <v>0.16</v>
      </c>
      <c r="J7" s="8">
        <v>-0.15</v>
      </c>
      <c r="K7" s="8">
        <v>0.22</v>
      </c>
      <c r="L7" s="8">
        <v>-0.13</v>
      </c>
      <c r="M7" s="8">
        <v>0.3</v>
      </c>
      <c r="N7" s="8">
        <v>-0.16</v>
      </c>
      <c r="O7" s="8">
        <v>0.12</v>
      </c>
      <c r="P7" s="8">
        <v>-0.19</v>
      </c>
      <c r="Q7" s="8">
        <v>0.18</v>
      </c>
    </row>
    <row r="8" spans="1:17" ht="42" x14ac:dyDescent="0.2">
      <c r="A8" s="9" t="s">
        <v>21</v>
      </c>
      <c r="B8" s="8">
        <v>-0.19</v>
      </c>
      <c r="C8" s="8">
        <v>0.95</v>
      </c>
      <c r="D8" s="8">
        <v>0.24</v>
      </c>
      <c r="E8" s="8">
        <v>0.59</v>
      </c>
      <c r="F8" s="8">
        <v>-0.13</v>
      </c>
      <c r="G8" s="8">
        <v>0.8</v>
      </c>
      <c r="H8" s="8">
        <v>-2.61</v>
      </c>
      <c r="I8" s="8">
        <v>1.23</v>
      </c>
      <c r="J8" s="8">
        <v>0.19</v>
      </c>
      <c r="K8" s="8">
        <v>0.71</v>
      </c>
      <c r="L8" s="8">
        <v>0.13</v>
      </c>
      <c r="M8" s="8">
        <v>0.72</v>
      </c>
      <c r="N8" s="8">
        <v>0.23</v>
      </c>
      <c r="O8" s="8">
        <v>0.68</v>
      </c>
      <c r="P8" s="8">
        <v>0.41</v>
      </c>
      <c r="Q8" s="8">
        <v>0.5</v>
      </c>
    </row>
    <row r="9" spans="1:17" ht="42" x14ac:dyDescent="0.2">
      <c r="A9" s="10" t="s">
        <v>3</v>
      </c>
      <c r="B9" s="8">
        <v>0.7</v>
      </c>
      <c r="C9" s="8">
        <v>0.9</v>
      </c>
      <c r="D9" s="8">
        <v>-0.5</v>
      </c>
      <c r="E9" s="8">
        <v>0.9</v>
      </c>
      <c r="F9" s="8">
        <v>0</v>
      </c>
      <c r="G9" s="8">
        <v>0.9</v>
      </c>
      <c r="H9" s="8">
        <v>0.5</v>
      </c>
      <c r="I9" s="8">
        <v>0.9</v>
      </c>
      <c r="J9" s="8">
        <v>0.5</v>
      </c>
      <c r="K9" s="8">
        <v>0.9</v>
      </c>
      <c r="L9" s="8">
        <v>0.8</v>
      </c>
      <c r="M9" s="8">
        <v>0.9</v>
      </c>
      <c r="N9" s="8">
        <v>-0.3</v>
      </c>
      <c r="O9" s="8">
        <v>0.9</v>
      </c>
      <c r="P9" s="8">
        <v>0.1</v>
      </c>
      <c r="Q9" s="8">
        <v>0.9</v>
      </c>
    </row>
    <row r="10" spans="1:17" ht="56" x14ac:dyDescent="0.2">
      <c r="A10" s="10" t="s">
        <v>4</v>
      </c>
      <c r="B10" s="8">
        <v>0.7</v>
      </c>
      <c r="C10" s="8">
        <v>0.9</v>
      </c>
      <c r="D10" s="8">
        <v>-0.4</v>
      </c>
      <c r="E10" s="8">
        <v>0.9</v>
      </c>
      <c r="F10" s="8">
        <v>0.4</v>
      </c>
      <c r="G10" s="8">
        <v>0.9</v>
      </c>
      <c r="H10" s="8">
        <v>0.1</v>
      </c>
      <c r="I10" s="8">
        <v>0.9</v>
      </c>
      <c r="J10" s="8">
        <v>0.3</v>
      </c>
      <c r="K10" s="8">
        <v>0.9</v>
      </c>
      <c r="L10" s="8">
        <v>0.3</v>
      </c>
      <c r="M10" s="8">
        <v>0.9</v>
      </c>
      <c r="N10" s="8">
        <v>-0.8</v>
      </c>
      <c r="O10" s="8">
        <v>0.9</v>
      </c>
      <c r="P10" s="8">
        <v>0.2</v>
      </c>
      <c r="Q10" s="8">
        <v>0.9</v>
      </c>
    </row>
    <row r="11" spans="1:17" x14ac:dyDescent="0.2">
      <c r="A11" s="10" t="s">
        <v>5</v>
      </c>
      <c r="B11" s="8">
        <v>0.6</v>
      </c>
      <c r="C11" s="8">
        <v>0.9</v>
      </c>
      <c r="D11" s="8">
        <v>-0.2</v>
      </c>
      <c r="E11" s="8">
        <v>0.9</v>
      </c>
      <c r="F11" s="8">
        <v>0.3</v>
      </c>
      <c r="G11" s="8">
        <v>0.9</v>
      </c>
      <c r="H11" s="8">
        <v>0.1</v>
      </c>
      <c r="I11" s="8">
        <v>0.9</v>
      </c>
      <c r="J11" s="8">
        <v>-0.1</v>
      </c>
      <c r="K11" s="8">
        <v>0.9</v>
      </c>
      <c r="L11" s="8">
        <v>0.4</v>
      </c>
      <c r="M11" s="8">
        <v>0.9</v>
      </c>
      <c r="N11" s="8">
        <v>-0.7</v>
      </c>
      <c r="O11" s="8">
        <v>0.9</v>
      </c>
      <c r="P11" s="8">
        <v>0.2</v>
      </c>
      <c r="Q11" s="8">
        <v>0.9</v>
      </c>
    </row>
    <row r="12" spans="1:17" ht="42" x14ac:dyDescent="0.2">
      <c r="A12" s="10" t="s">
        <v>22</v>
      </c>
      <c r="B12" s="8">
        <v>0.5</v>
      </c>
      <c r="C12" s="8">
        <v>0.9</v>
      </c>
      <c r="D12" s="8">
        <v>-0.1</v>
      </c>
      <c r="E12" s="8">
        <v>0.9</v>
      </c>
      <c r="F12" s="8">
        <v>0.3</v>
      </c>
      <c r="G12" s="8">
        <v>0.9</v>
      </c>
      <c r="H12" s="8">
        <v>0.4</v>
      </c>
      <c r="I12" s="8">
        <v>0.9</v>
      </c>
      <c r="J12" s="8">
        <v>-0.4</v>
      </c>
      <c r="K12" s="8">
        <v>0.9</v>
      </c>
      <c r="L12" s="8">
        <v>0.3</v>
      </c>
      <c r="M12" s="8">
        <v>0.9</v>
      </c>
      <c r="N12" s="8">
        <v>-0.8</v>
      </c>
      <c r="O12" s="8">
        <v>0.9</v>
      </c>
      <c r="P12" s="8">
        <v>0.2</v>
      </c>
      <c r="Q12" s="8">
        <v>0.9</v>
      </c>
    </row>
    <row r="13" spans="1:17" ht="42" x14ac:dyDescent="0.2">
      <c r="A13" s="10" t="s">
        <v>23</v>
      </c>
      <c r="B13" s="8">
        <v>-0.3</v>
      </c>
      <c r="C13" s="8">
        <v>0.9</v>
      </c>
      <c r="D13" s="8">
        <v>0.1</v>
      </c>
      <c r="E13" s="8">
        <v>0.9</v>
      </c>
      <c r="F13" s="8">
        <v>-0.3</v>
      </c>
      <c r="G13" s="8">
        <v>0.9</v>
      </c>
      <c r="H13" s="8">
        <v>-0.3</v>
      </c>
      <c r="I13" s="8">
        <v>0.9</v>
      </c>
      <c r="J13" s="8">
        <v>0.1</v>
      </c>
      <c r="K13" s="8">
        <v>0.9</v>
      </c>
      <c r="L13" s="8">
        <v>-0.4</v>
      </c>
      <c r="M13" s="8">
        <v>0.9</v>
      </c>
      <c r="N13" s="8">
        <v>0.5</v>
      </c>
      <c r="O13" s="8">
        <v>0.9</v>
      </c>
      <c r="P13" s="8">
        <v>0</v>
      </c>
      <c r="Q13" s="8">
        <v>0.9</v>
      </c>
    </row>
    <row r="14" spans="1:17" ht="56" x14ac:dyDescent="0.2">
      <c r="A14" s="10" t="s">
        <v>6</v>
      </c>
      <c r="B14" s="8">
        <v>0.7</v>
      </c>
      <c r="C14" s="8">
        <v>0.9</v>
      </c>
      <c r="D14" s="8">
        <v>-0.1</v>
      </c>
      <c r="E14" s="8">
        <v>0.9</v>
      </c>
      <c r="F14" s="8">
        <v>0.5</v>
      </c>
      <c r="G14" s="8">
        <v>0.9</v>
      </c>
      <c r="H14" s="8">
        <v>0</v>
      </c>
      <c r="I14" s="8">
        <v>0.9</v>
      </c>
      <c r="J14" s="8">
        <v>0.3</v>
      </c>
      <c r="K14" s="8">
        <v>0.9</v>
      </c>
      <c r="L14" s="8">
        <v>0.5</v>
      </c>
      <c r="M14" s="8">
        <v>0.9</v>
      </c>
      <c r="N14" s="8">
        <v>-0.8</v>
      </c>
      <c r="O14" s="8">
        <v>0.9</v>
      </c>
      <c r="P14" s="8">
        <v>-0.3</v>
      </c>
      <c r="Q14" s="8">
        <v>0.9</v>
      </c>
    </row>
    <row r="15" spans="1:17" ht="42" x14ac:dyDescent="0.2">
      <c r="A15" s="10" t="s">
        <v>7</v>
      </c>
      <c r="B15" s="8">
        <v>0.8</v>
      </c>
      <c r="C15" s="8">
        <v>0.9</v>
      </c>
      <c r="D15" s="8">
        <v>-0.1</v>
      </c>
      <c r="E15" s="8">
        <v>0.9</v>
      </c>
      <c r="F15" s="8">
        <v>0.4</v>
      </c>
      <c r="G15" s="8">
        <v>0.9</v>
      </c>
      <c r="H15" s="8">
        <v>0</v>
      </c>
      <c r="I15" s="8">
        <v>0.9</v>
      </c>
      <c r="J15" s="8">
        <v>0.2</v>
      </c>
      <c r="K15" s="8">
        <v>0.9</v>
      </c>
      <c r="L15" s="8">
        <v>0</v>
      </c>
      <c r="M15" s="8">
        <v>0.9</v>
      </c>
      <c r="N15" s="8">
        <v>-0.2</v>
      </c>
      <c r="O15" s="8">
        <v>0.9</v>
      </c>
      <c r="P15" s="8">
        <v>-0.4</v>
      </c>
      <c r="Q15" s="8">
        <v>0.9</v>
      </c>
    </row>
  </sheetData>
  <mergeCells count="25">
    <mergeCell ref="P3:Q3"/>
    <mergeCell ref="B4:C4"/>
    <mergeCell ref="D4:E4"/>
    <mergeCell ref="F4:G4"/>
    <mergeCell ref="H4:I4"/>
    <mergeCell ref="J4:K4"/>
    <mergeCell ref="L4:M4"/>
    <mergeCell ref="N4:O4"/>
    <mergeCell ref="P4:Q4"/>
    <mergeCell ref="L1:M1"/>
    <mergeCell ref="N1:O1"/>
    <mergeCell ref="P1:Q1"/>
    <mergeCell ref="B3:C3"/>
    <mergeCell ref="D3:E3"/>
    <mergeCell ref="F3:G3"/>
    <mergeCell ref="H3:I3"/>
    <mergeCell ref="J3:K3"/>
    <mergeCell ref="L3:M3"/>
    <mergeCell ref="N3:O3"/>
    <mergeCell ref="A1:A2"/>
    <mergeCell ref="B1:C1"/>
    <mergeCell ref="D1:E1"/>
    <mergeCell ref="F1:G1"/>
    <mergeCell ref="H1:I1"/>
    <mergeCell ref="J1:K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Meier</dc:creator>
  <cp:lastModifiedBy>Henry Meier</cp:lastModifiedBy>
  <dcterms:created xsi:type="dcterms:W3CDTF">2026-08-14T00:07:19Z</dcterms:created>
  <dcterms:modified xsi:type="dcterms:W3CDTF">2026-08-30T16:23:18Z</dcterms:modified>
</cp:coreProperties>
</file>