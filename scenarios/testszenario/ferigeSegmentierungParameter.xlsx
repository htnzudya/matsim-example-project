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l/IdeaProjects/matsim-example-project/scenarios/testszenario/"/>
    </mc:Choice>
  </mc:AlternateContent>
  <xr:revisionPtr revIDLastSave="0" documentId="13_ncr:1_{CAED48FC-FE80-4940-BFDC-B3D2B7F1E496}" xr6:coauthVersionLast="47" xr6:coauthVersionMax="47" xr10:uidLastSave="{00000000-0000-0000-0000-000000000000}"/>
  <bookViews>
    <workbookView xWindow="13500" yWindow="680" windowWidth="20700" windowHeight="21460" xr2:uid="{9607306B-5BD0-464C-922F-AC958A701ECA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5" i="1" l="1"/>
  <c r="F15" i="1" s="1"/>
  <c r="W15" i="1"/>
  <c r="T15" i="1"/>
  <c r="Q15" i="1"/>
  <c r="N15" i="1"/>
  <c r="K15" i="1"/>
  <c r="H15" i="1"/>
  <c r="E15" i="1"/>
  <c r="B15" i="1"/>
  <c r="AA14" i="1"/>
  <c r="F14" i="1" s="1"/>
  <c r="W14" i="1"/>
  <c r="T14" i="1"/>
  <c r="Q14" i="1"/>
  <c r="N14" i="1"/>
  <c r="K14" i="1"/>
  <c r="H14" i="1"/>
  <c r="E14" i="1"/>
  <c r="B14" i="1"/>
  <c r="AA13" i="1"/>
  <c r="C13" i="1" s="1"/>
  <c r="W13" i="1"/>
  <c r="T13" i="1"/>
  <c r="Q13" i="1"/>
  <c r="N13" i="1"/>
  <c r="K13" i="1"/>
  <c r="H13" i="1"/>
  <c r="E13" i="1"/>
  <c r="B13" i="1"/>
  <c r="AA12" i="1"/>
  <c r="F12" i="1" s="1"/>
  <c r="W12" i="1"/>
  <c r="T12" i="1"/>
  <c r="Q12" i="1"/>
  <c r="N12" i="1"/>
  <c r="K12" i="1"/>
  <c r="H12" i="1"/>
  <c r="E12" i="1"/>
  <c r="B12" i="1"/>
  <c r="AA11" i="1"/>
  <c r="F11" i="1" s="1"/>
  <c r="W11" i="1"/>
  <c r="T11" i="1"/>
  <c r="Q11" i="1"/>
  <c r="N11" i="1"/>
  <c r="K11" i="1"/>
  <c r="H11" i="1"/>
  <c r="E11" i="1"/>
  <c r="B11" i="1"/>
  <c r="AA10" i="1"/>
  <c r="F10" i="1" s="1"/>
  <c r="W10" i="1"/>
  <c r="T10" i="1"/>
  <c r="Q10" i="1"/>
  <c r="N10" i="1"/>
  <c r="K10" i="1"/>
  <c r="H10" i="1"/>
  <c r="E10" i="1"/>
  <c r="B10" i="1"/>
  <c r="AA9" i="1"/>
  <c r="F9" i="1" s="1"/>
  <c r="W9" i="1"/>
  <c r="T9" i="1"/>
  <c r="Q9" i="1"/>
  <c r="N9" i="1"/>
  <c r="K9" i="1"/>
  <c r="H9" i="1"/>
  <c r="E9" i="1"/>
  <c r="B9" i="1"/>
  <c r="F13" i="1" l="1"/>
  <c r="C14" i="1"/>
  <c r="C9" i="1"/>
  <c r="C15" i="1"/>
  <c r="C10" i="1"/>
  <c r="C11" i="1"/>
  <c r="C12" i="1"/>
</calcChain>
</file>

<file path=xl/sharedStrings.xml><?xml version="1.0" encoding="utf-8"?>
<sst xmlns="http://schemas.openxmlformats.org/spreadsheetml/2006/main" count="79" uniqueCount="29">
  <si>
    <t>Cluster 1: Der multioptionale Urbanist</t>
  </si>
  <si>
    <t>Cluster 2: Der aktive Ältere</t>
  </si>
  <si>
    <t>Cluster 3: Der pragmatische Urbanist</t>
  </si>
  <si>
    <t>Cluster 4: Der ÖPNV-Gebundene</t>
  </si>
  <si>
    <t>Cluster 5: Das Familienmitglied (mit Kindern)</t>
  </si>
  <si>
    <t>Cluster 6: Der Hochmobile</t>
  </si>
  <si>
    <t>Cluster 7: Der inaktive Ältere</t>
  </si>
  <si>
    <t>Cluster 8: Der Ländliche</t>
  </si>
  <si>
    <t>p</t>
  </si>
  <si>
    <t>o*_l</t>
  </si>
  <si>
    <t>M</t>
  </si>
  <si>
    <t>SD</t>
  </si>
  <si>
    <t>Sig.</t>
  </si>
  <si>
    <t>N (gesamt 86.498)</t>
  </si>
  <si>
    <t>Anteil an Stichprobe (%)</t>
  </si>
  <si>
    <t>**</t>
  </si>
  <si>
    <t>a</t>
  </si>
  <si>
    <t>*</t>
  </si>
  <si>
    <t>Wahrgenommener Nutzen (PU)</t>
  </si>
  <si>
    <t>Wahrgen. Nutzungsfreundlichkeit (PEOU)</t>
  </si>
  <si>
    <t>Vertrauen</t>
  </si>
  <si>
    <t>Wahrgenommenes Sicherheit</t>
  </si>
  <si>
    <t>Wahrgenommene Risiko</t>
  </si>
  <si>
    <t>Wahrgen. Verhaltenskontrolle (PBC)</t>
  </si>
  <si>
    <t>Subjektive / soziale Norm</t>
  </si>
  <si>
    <t>Technologieaffinität</t>
  </si>
  <si>
    <t>Umweltbewuustsein</t>
  </si>
  <si>
    <t>Sharing Bereitschaft</t>
  </si>
  <si>
    <t>Fahrfreude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</si>
</sst>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D9E2F3"/>
      </patternFill>
    </fill>
    <fill>
      <patternFill patternType="solid">
        <fgColor rgb="FFD9E2F3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/>
    <xf numFmtId="0" fontId="4" fillId="6" borderId="6" xfId="0" applyFont="1" applyFill="1" applyBorder="1"/>
    <xf numFmtId="2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7" borderId="6" xfId="1" applyFont="1" applyFill="1" applyBorder="1" applyAlignment="1">
      <alignment vertical="center" wrapText="1"/>
    </xf>
    <xf numFmtId="2" fontId="1" fillId="0" borderId="0" xfId="0" applyNumberFormat="1" applyFont="1"/>
    <xf numFmtId="0" fontId="4" fillId="8" borderId="6" xfId="1" applyFont="1" applyFill="1" applyBorder="1" applyAlignment="1">
      <alignment vertical="center" wrapText="1"/>
    </xf>
    <xf numFmtId="10" fontId="3" fillId="4" borderId="1" xfId="0" applyNumberFormat="1" applyFon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center"/>
    </xf>
    <xf numFmtId="10" fontId="3" fillId="4" borderId="3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10" fontId="3" fillId="5" borderId="2" xfId="0" applyNumberFormat="1" applyFont="1" applyFill="1" applyBorder="1" applyAlignment="1">
      <alignment horizontal="center"/>
    </xf>
    <xf numFmtId="10" fontId="3" fillId="5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3" fontId="3" fillId="4" borderId="3" xfId="0" applyNumberFormat="1" applyFont="1" applyFill="1" applyBorder="1" applyAlignment="1">
      <alignment horizontal="center"/>
    </xf>
  </cellXfs>
  <cellStyles count="2">
    <cellStyle name="Standard" xfId="0" builtinId="0"/>
    <cellStyle name="Standard 2" xfId="1" xr:uid="{FDD6B27C-D8C7-7B44-A333-E6E1DF633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8D1B53-69ED-BC40-8DB9-8C7AD734BEFC}">
  <we:reference id="wa200009404" version="1.0.0.8" store="de-DE" storeType="OMEX"/>
  <we:alternateReferences>
    <we:reference id="wa200009404" version="1.0.0.8" store="de-DE" storeType="OMEX"/>
  </we:alternateReferences>
  <we:properties>
    <we:property name="claude.fileId" value="&quot;bf1f61ce-e23c-4b54-8bd9-76feb03c33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0143-95A1-B342-AC74-73D13ABDA6C7}">
  <dimension ref="A1:AA15"/>
  <sheetViews>
    <sheetView tabSelected="1" workbookViewId="0">
      <selection activeCell="B27" sqref="B27"/>
    </sheetView>
  </sheetViews>
  <sheetFormatPr baseColWidth="10" defaultRowHeight="16" x14ac:dyDescent="0.2"/>
  <cols>
    <col min="1" max="1" width="38.6640625" customWidth="1"/>
  </cols>
  <sheetData>
    <row r="1" spans="1:27" x14ac:dyDescent="0.2">
      <c r="A1" s="1"/>
      <c r="B1" s="18" t="s">
        <v>0</v>
      </c>
      <c r="C1" s="19"/>
      <c r="D1" s="20"/>
      <c r="E1" s="18" t="s">
        <v>1</v>
      </c>
      <c r="F1" s="19"/>
      <c r="G1" s="20"/>
      <c r="H1" s="18" t="s">
        <v>2</v>
      </c>
      <c r="I1" s="19"/>
      <c r="J1" s="20"/>
      <c r="K1" s="18" t="s">
        <v>3</v>
      </c>
      <c r="L1" s="19"/>
      <c r="M1" s="20"/>
      <c r="N1" s="18" t="s">
        <v>4</v>
      </c>
      <c r="O1" s="19"/>
      <c r="P1" s="20"/>
      <c r="Q1" s="18" t="s">
        <v>5</v>
      </c>
      <c r="R1" s="19"/>
      <c r="S1" s="20"/>
      <c r="T1" s="18" t="s">
        <v>6</v>
      </c>
      <c r="U1" s="19"/>
      <c r="V1" s="20"/>
      <c r="W1" s="18" t="s">
        <v>7</v>
      </c>
      <c r="X1" s="19"/>
      <c r="Y1" s="20"/>
      <c r="Z1" t="s">
        <v>8</v>
      </c>
      <c r="AA1" s="2" t="s">
        <v>9</v>
      </c>
    </row>
    <row r="2" spans="1:27" x14ac:dyDescent="0.2">
      <c r="A2" s="1"/>
      <c r="B2" s="3" t="s">
        <v>10</v>
      </c>
      <c r="C2" s="4" t="s">
        <v>11</v>
      </c>
      <c r="D2" s="4" t="s">
        <v>12</v>
      </c>
      <c r="E2" s="4" t="s">
        <v>10</v>
      </c>
      <c r="F2" s="4" t="s">
        <v>11</v>
      </c>
      <c r="G2" s="4" t="s">
        <v>12</v>
      </c>
      <c r="H2" s="4" t="s">
        <v>10</v>
      </c>
      <c r="I2" s="4" t="s">
        <v>11</v>
      </c>
      <c r="J2" s="4" t="s">
        <v>12</v>
      </c>
      <c r="K2" s="4" t="s">
        <v>10</v>
      </c>
      <c r="L2" s="4" t="s">
        <v>11</v>
      </c>
      <c r="M2" s="4" t="s">
        <v>12</v>
      </c>
      <c r="N2" s="4" t="s">
        <v>10</v>
      </c>
      <c r="O2" s="4" t="s">
        <v>11</v>
      </c>
      <c r="P2" s="4" t="s">
        <v>12</v>
      </c>
      <c r="Q2" s="4" t="s">
        <v>10</v>
      </c>
      <c r="R2" s="4" t="s">
        <v>11</v>
      </c>
      <c r="S2" s="4" t="s">
        <v>12</v>
      </c>
      <c r="T2" s="4" t="s">
        <v>10</v>
      </c>
      <c r="U2" s="4" t="s">
        <v>11</v>
      </c>
      <c r="V2" s="4" t="s">
        <v>12</v>
      </c>
      <c r="W2" s="4" t="s">
        <v>10</v>
      </c>
      <c r="X2" s="4" t="s">
        <v>11</v>
      </c>
      <c r="Y2" s="4" t="s">
        <v>12</v>
      </c>
      <c r="AA2" s="2"/>
    </row>
    <row r="3" spans="1:27" x14ac:dyDescent="0.2">
      <c r="A3" s="5" t="s">
        <v>13</v>
      </c>
      <c r="B3" s="21">
        <v>2244</v>
      </c>
      <c r="C3" s="22"/>
      <c r="D3" s="23"/>
      <c r="E3" s="21">
        <v>21892</v>
      </c>
      <c r="F3" s="22"/>
      <c r="G3" s="23"/>
      <c r="H3" s="21">
        <v>16314</v>
      </c>
      <c r="I3" s="22"/>
      <c r="J3" s="23"/>
      <c r="K3" s="21">
        <v>5416</v>
      </c>
      <c r="L3" s="22"/>
      <c r="M3" s="23"/>
      <c r="N3" s="21">
        <v>8992</v>
      </c>
      <c r="O3" s="22"/>
      <c r="P3" s="23"/>
      <c r="Q3" s="21">
        <v>4001</v>
      </c>
      <c r="R3" s="22"/>
      <c r="S3" s="23"/>
      <c r="T3" s="21">
        <v>10425</v>
      </c>
      <c r="U3" s="22"/>
      <c r="V3" s="23"/>
      <c r="W3" s="21">
        <v>17214</v>
      </c>
      <c r="X3" s="22"/>
      <c r="Y3" s="23"/>
      <c r="AA3" s="2"/>
    </row>
    <row r="4" spans="1:27" x14ac:dyDescent="0.2">
      <c r="A4" s="5" t="s">
        <v>14</v>
      </c>
      <c r="B4" s="15">
        <v>2.5899999999999999E-2</v>
      </c>
      <c r="C4" s="16"/>
      <c r="D4" s="17"/>
      <c r="E4" s="12">
        <v>0.25309999999999999</v>
      </c>
      <c r="F4" s="13"/>
      <c r="G4" s="14"/>
      <c r="H4" s="12">
        <v>0.18859999999999999</v>
      </c>
      <c r="I4" s="13"/>
      <c r="J4" s="14"/>
      <c r="K4" s="15">
        <v>6.2600000000000003E-2</v>
      </c>
      <c r="L4" s="16"/>
      <c r="M4" s="17"/>
      <c r="N4" s="12">
        <v>0.104</v>
      </c>
      <c r="O4" s="13"/>
      <c r="P4" s="14"/>
      <c r="Q4" s="15">
        <v>4.6300000000000001E-2</v>
      </c>
      <c r="R4" s="16"/>
      <c r="S4" s="17"/>
      <c r="T4" s="12">
        <v>0.1205</v>
      </c>
      <c r="U4" s="13"/>
      <c r="V4" s="14"/>
      <c r="W4" s="12">
        <v>0.19900000000000001</v>
      </c>
      <c r="X4" s="13"/>
      <c r="Y4" s="14"/>
      <c r="AA4" s="2"/>
    </row>
    <row r="5" spans="1:27" x14ac:dyDescent="0.2">
      <c r="A5" s="6" t="s">
        <v>25</v>
      </c>
      <c r="B5" s="7">
        <v>0.61</v>
      </c>
      <c r="C5" s="7">
        <v>1.1100000000000001</v>
      </c>
      <c r="D5" s="8" t="s">
        <v>15</v>
      </c>
      <c r="E5" s="7">
        <v>-0.42</v>
      </c>
      <c r="F5" s="7">
        <v>0.91</v>
      </c>
      <c r="G5" s="8" t="s">
        <v>15</v>
      </c>
      <c r="H5" s="7">
        <v>0.34</v>
      </c>
      <c r="I5" s="7">
        <v>0.96</v>
      </c>
      <c r="J5" s="8" t="s">
        <v>15</v>
      </c>
      <c r="K5" s="7">
        <v>-0.02</v>
      </c>
      <c r="L5" s="7">
        <v>0.97</v>
      </c>
      <c r="M5" s="8" t="s">
        <v>15</v>
      </c>
      <c r="N5" s="7">
        <v>0.28999999999999998</v>
      </c>
      <c r="O5" s="7">
        <v>0.95</v>
      </c>
      <c r="P5" s="8" t="s">
        <v>15</v>
      </c>
      <c r="Q5" s="7">
        <v>0.19</v>
      </c>
      <c r="R5" s="7">
        <v>0.99</v>
      </c>
      <c r="S5" s="8" t="s">
        <v>16</v>
      </c>
      <c r="T5" s="7">
        <v>-0.37</v>
      </c>
      <c r="U5" s="7">
        <v>1.02</v>
      </c>
      <c r="V5" s="8" t="s">
        <v>15</v>
      </c>
      <c r="W5" s="7">
        <v>0.17</v>
      </c>
      <c r="X5" s="7">
        <v>0.88</v>
      </c>
      <c r="Y5" s="8" t="s">
        <v>16</v>
      </c>
      <c r="AA5" s="2"/>
    </row>
    <row r="6" spans="1:27" x14ac:dyDescent="0.2">
      <c r="A6" s="6" t="s">
        <v>26</v>
      </c>
      <c r="B6" s="7">
        <v>0.68</v>
      </c>
      <c r="C6" s="7">
        <v>1.02</v>
      </c>
      <c r="D6" s="8" t="s">
        <v>15</v>
      </c>
      <c r="E6" s="7">
        <v>-0.37</v>
      </c>
      <c r="F6" s="7">
        <v>0.66</v>
      </c>
      <c r="G6" s="8" t="s">
        <v>15</v>
      </c>
      <c r="H6" s="7">
        <v>0.81</v>
      </c>
      <c r="I6" s="7">
        <v>1.01</v>
      </c>
      <c r="J6" s="8" t="s">
        <v>15</v>
      </c>
      <c r="K6" s="7">
        <v>0.96</v>
      </c>
      <c r="L6" s="7">
        <v>1.1399999999999999</v>
      </c>
      <c r="M6" s="8" t="s">
        <v>15</v>
      </c>
      <c r="N6" s="7">
        <v>-0.23</v>
      </c>
      <c r="O6" s="7">
        <v>0.84</v>
      </c>
      <c r="P6" s="8" t="s">
        <v>16</v>
      </c>
      <c r="Q6" s="7">
        <v>-0.03</v>
      </c>
      <c r="R6" s="7">
        <v>0.91</v>
      </c>
      <c r="S6" s="8" t="s">
        <v>15</v>
      </c>
      <c r="T6" s="7">
        <v>-0.24</v>
      </c>
      <c r="U6" s="7">
        <v>0.9</v>
      </c>
      <c r="V6" s="8" t="s">
        <v>16</v>
      </c>
      <c r="W6" s="7">
        <v>-0.42</v>
      </c>
      <c r="X6" s="7">
        <v>0.72</v>
      </c>
      <c r="Y6" s="8" t="s">
        <v>15</v>
      </c>
      <c r="AA6" s="2"/>
    </row>
    <row r="7" spans="1:27" x14ac:dyDescent="0.2">
      <c r="A7" s="6" t="s">
        <v>27</v>
      </c>
      <c r="B7" s="7">
        <v>5.75</v>
      </c>
      <c r="C7" s="7">
        <v>1.93</v>
      </c>
      <c r="D7" s="8" t="s">
        <v>15</v>
      </c>
      <c r="E7" s="7">
        <v>-0.16</v>
      </c>
      <c r="F7" s="7">
        <v>0.12</v>
      </c>
      <c r="G7" s="8" t="s">
        <v>16</v>
      </c>
      <c r="H7" s="7">
        <v>-0.11</v>
      </c>
      <c r="I7" s="7">
        <v>0.08</v>
      </c>
      <c r="J7" s="8" t="s">
        <v>15</v>
      </c>
      <c r="K7" s="7">
        <v>-0.15</v>
      </c>
      <c r="L7" s="7">
        <v>0.16</v>
      </c>
      <c r="M7" s="8" t="s">
        <v>16</v>
      </c>
      <c r="N7" s="7">
        <v>-0.15</v>
      </c>
      <c r="O7" s="7">
        <v>0.22</v>
      </c>
      <c r="P7" s="8" t="s">
        <v>16</v>
      </c>
      <c r="Q7" s="7">
        <v>-0.13</v>
      </c>
      <c r="R7" s="7">
        <v>0.3</v>
      </c>
      <c r="S7" s="8" t="s">
        <v>16</v>
      </c>
      <c r="T7" s="7">
        <v>-0.16</v>
      </c>
      <c r="U7" s="7">
        <v>0.12</v>
      </c>
      <c r="V7" s="8" t="s">
        <v>16</v>
      </c>
      <c r="W7" s="7">
        <v>-0.19</v>
      </c>
      <c r="X7" s="7">
        <v>0.18</v>
      </c>
      <c r="Y7" s="8" t="s">
        <v>15</v>
      </c>
      <c r="AA7" s="2"/>
    </row>
    <row r="8" spans="1:27" x14ac:dyDescent="0.2">
      <c r="A8" s="6" t="s">
        <v>28</v>
      </c>
      <c r="B8" s="7">
        <v>-0.19</v>
      </c>
      <c r="C8" s="7">
        <v>0.95</v>
      </c>
      <c r="D8" s="8" t="s">
        <v>17</v>
      </c>
      <c r="E8" s="7">
        <v>0.24</v>
      </c>
      <c r="F8" s="7">
        <v>0.59</v>
      </c>
      <c r="G8" s="8" t="s">
        <v>16</v>
      </c>
      <c r="H8" s="7">
        <v>-0.13</v>
      </c>
      <c r="I8" s="7">
        <v>0.8</v>
      </c>
      <c r="J8" s="8" t="s">
        <v>17</v>
      </c>
      <c r="K8" s="7">
        <v>-2.61</v>
      </c>
      <c r="L8" s="7">
        <v>1.23</v>
      </c>
      <c r="M8" s="8" t="s">
        <v>15</v>
      </c>
      <c r="N8" s="7">
        <v>0.19</v>
      </c>
      <c r="O8" s="7">
        <v>0.71</v>
      </c>
      <c r="P8" s="8" t="s">
        <v>17</v>
      </c>
      <c r="Q8" s="7">
        <v>0.13</v>
      </c>
      <c r="R8" s="7">
        <v>0.72</v>
      </c>
      <c r="S8" s="8" t="s">
        <v>15</v>
      </c>
      <c r="T8" s="7">
        <v>0.23</v>
      </c>
      <c r="U8" s="7">
        <v>0.68</v>
      </c>
      <c r="V8" s="8" t="s">
        <v>16</v>
      </c>
      <c r="W8" s="7">
        <v>0.41</v>
      </c>
      <c r="X8" s="7">
        <v>0.5</v>
      </c>
      <c r="Y8" s="8" t="s">
        <v>15</v>
      </c>
      <c r="AA8" s="2"/>
    </row>
    <row r="9" spans="1:27" ht="19" customHeight="1" x14ac:dyDescent="0.2">
      <c r="A9" s="9" t="s">
        <v>18</v>
      </c>
      <c r="B9">
        <f>B$5*$Z9</f>
        <v>0.30499999999999999</v>
      </c>
      <c r="C9" s="2">
        <f>$AA9</f>
        <v>0.8660254037844386</v>
      </c>
      <c r="E9">
        <f>E5*$Z9</f>
        <v>-0.21</v>
      </c>
      <c r="F9" s="2">
        <f>$AA9</f>
        <v>0.8660254037844386</v>
      </c>
      <c r="H9">
        <f>H5*$Z9</f>
        <v>0.17</v>
      </c>
      <c r="I9" s="10">
        <v>0.87</v>
      </c>
      <c r="K9">
        <f>K5*$Z9</f>
        <v>-0.01</v>
      </c>
      <c r="L9" s="10">
        <v>0.87</v>
      </c>
      <c r="N9">
        <f>N5*$Z9</f>
        <v>0.14499999999999999</v>
      </c>
      <c r="O9" s="10">
        <v>0.87</v>
      </c>
      <c r="Q9">
        <f>Q5*$Z9</f>
        <v>9.5000000000000001E-2</v>
      </c>
      <c r="R9" s="10">
        <v>0.87</v>
      </c>
      <c r="T9">
        <f>T5*$Z9</f>
        <v>-0.185</v>
      </c>
      <c r="U9" s="10">
        <v>0.87</v>
      </c>
      <c r="W9">
        <f>W5*$Z9</f>
        <v>8.5000000000000006E-2</v>
      </c>
      <c r="X9" s="10">
        <v>0.87</v>
      </c>
      <c r="Z9">
        <v>0.5</v>
      </c>
      <c r="AA9" s="2">
        <f>SQRT(1-Z9^2)</f>
        <v>0.8660254037844386</v>
      </c>
    </row>
    <row r="10" spans="1:27" ht="19" customHeight="1" x14ac:dyDescent="0.2">
      <c r="A10" s="11" t="s">
        <v>19</v>
      </c>
      <c r="B10">
        <f>B$5*$Z10</f>
        <v>0.27450000000000002</v>
      </c>
      <c r="C10" s="2">
        <f t="shared" ref="C10:C15" si="0">$AA10</f>
        <v>0.89302855497458755</v>
      </c>
      <c r="E10">
        <f>E$5*$Z10</f>
        <v>-0.189</v>
      </c>
      <c r="F10" s="2">
        <f t="shared" ref="F10:F14" si="1">$AA10</f>
        <v>0.89302855497458755</v>
      </c>
      <c r="H10">
        <f>H$5*$Z10</f>
        <v>0.15300000000000002</v>
      </c>
      <c r="I10" s="10">
        <v>0.89</v>
      </c>
      <c r="K10">
        <f>K$5*$Z10</f>
        <v>-9.0000000000000011E-3</v>
      </c>
      <c r="L10" s="10">
        <v>0.89</v>
      </c>
      <c r="N10">
        <f>N$5*$Z10</f>
        <v>0.1305</v>
      </c>
      <c r="O10" s="10">
        <v>0.89</v>
      </c>
      <c r="Q10">
        <f>Q$5*$Z10</f>
        <v>8.5500000000000007E-2</v>
      </c>
      <c r="R10" s="10">
        <v>0.89</v>
      </c>
      <c r="T10">
        <f>T$5*$Z10</f>
        <v>-0.16650000000000001</v>
      </c>
      <c r="U10" s="10">
        <v>0.89</v>
      </c>
      <c r="W10">
        <f>W$5*$Z10</f>
        <v>7.6500000000000012E-2</v>
      </c>
      <c r="X10" s="10">
        <v>0.89</v>
      </c>
      <c r="Z10">
        <v>0.45</v>
      </c>
      <c r="AA10" s="2">
        <f t="shared" ref="AA10:AA15" si="2">SQRT(1-Z10^2)</f>
        <v>0.89302855497458755</v>
      </c>
    </row>
    <row r="11" spans="1:27" x14ac:dyDescent="0.2">
      <c r="A11" s="9" t="s">
        <v>20</v>
      </c>
      <c r="B11">
        <f>B$5*$Z11</f>
        <v>0.24399999999999999</v>
      </c>
      <c r="C11" s="2">
        <f t="shared" si="0"/>
        <v>0.91651513899116799</v>
      </c>
      <c r="E11">
        <f>E$5*$Z11</f>
        <v>-0.16800000000000001</v>
      </c>
      <c r="F11" s="2">
        <f t="shared" si="1"/>
        <v>0.91651513899116799</v>
      </c>
      <c r="H11">
        <f>H$5*$Z11</f>
        <v>0.13600000000000001</v>
      </c>
      <c r="I11" s="10">
        <v>0.92</v>
      </c>
      <c r="K11">
        <f>K$5*$Z11</f>
        <v>-8.0000000000000002E-3</v>
      </c>
      <c r="L11" s="10">
        <v>0.92</v>
      </c>
      <c r="N11">
        <f>N$5*$Z11</f>
        <v>0.11599999999999999</v>
      </c>
      <c r="O11" s="10">
        <v>0.92</v>
      </c>
      <c r="Q11">
        <f>Q$5*$Z11</f>
        <v>7.6000000000000012E-2</v>
      </c>
      <c r="R11" s="10">
        <v>0.92</v>
      </c>
      <c r="T11">
        <f>T$5*$Z11</f>
        <v>-0.14799999999999999</v>
      </c>
      <c r="U11" s="10">
        <v>0.92</v>
      </c>
      <c r="W11">
        <f>W$5*$Z11</f>
        <v>6.8000000000000005E-2</v>
      </c>
      <c r="X11" s="10">
        <v>0.92</v>
      </c>
      <c r="Z11">
        <v>0.4</v>
      </c>
      <c r="AA11" s="2">
        <f t="shared" si="2"/>
        <v>0.91651513899116799</v>
      </c>
    </row>
    <row r="12" spans="1:27" ht="21" customHeight="1" x14ac:dyDescent="0.2">
      <c r="A12" s="11" t="s">
        <v>21</v>
      </c>
      <c r="B12">
        <f>B$5*$Z12</f>
        <v>0.2135</v>
      </c>
      <c r="C12" s="2">
        <f t="shared" si="0"/>
        <v>0.93674969975975975</v>
      </c>
      <c r="E12">
        <f>E$5*$Z12</f>
        <v>-0.14699999999999999</v>
      </c>
      <c r="F12" s="2">
        <f t="shared" si="1"/>
        <v>0.93674969975975975</v>
      </c>
      <c r="H12">
        <f>H$5*$Z12</f>
        <v>0.11899999999999999</v>
      </c>
      <c r="I12" s="10">
        <v>0.94</v>
      </c>
      <c r="K12">
        <f>K$5*$Z12</f>
        <v>-6.9999999999999993E-3</v>
      </c>
      <c r="L12" s="10">
        <v>0.94</v>
      </c>
      <c r="N12">
        <f>N$5*$Z12</f>
        <v>0.10149999999999999</v>
      </c>
      <c r="O12" s="10">
        <v>0.94</v>
      </c>
      <c r="Q12">
        <f>Q$5*$Z12</f>
        <v>6.649999999999999E-2</v>
      </c>
      <c r="R12" s="10">
        <v>0.94</v>
      </c>
      <c r="T12">
        <f>T$5*$Z12</f>
        <v>-0.1295</v>
      </c>
      <c r="U12" s="10">
        <v>0.94</v>
      </c>
      <c r="W12">
        <f>W$5*$Z12</f>
        <v>5.9499999999999997E-2</v>
      </c>
      <c r="X12" s="10">
        <v>0.94</v>
      </c>
      <c r="Z12">
        <v>0.35</v>
      </c>
      <c r="AA12" s="2">
        <f t="shared" si="2"/>
        <v>0.93674969975975975</v>
      </c>
    </row>
    <row r="13" spans="1:27" ht="19" customHeight="1" x14ac:dyDescent="0.2">
      <c r="A13" s="9" t="s">
        <v>22</v>
      </c>
      <c r="B13">
        <f>B$5*$Z13</f>
        <v>-0.2135</v>
      </c>
      <c r="C13" s="2">
        <f t="shared" si="0"/>
        <v>0.93674969975975975</v>
      </c>
      <c r="E13">
        <f>E$5*$Z13</f>
        <v>0.14699999999999999</v>
      </c>
      <c r="F13" s="2">
        <f t="shared" si="1"/>
        <v>0.93674969975975975</v>
      </c>
      <c r="H13">
        <f>H$5*$Z13</f>
        <v>-0.11899999999999999</v>
      </c>
      <c r="I13" s="10">
        <v>0.94</v>
      </c>
      <c r="K13">
        <f>K$5*$Z13</f>
        <v>6.9999999999999993E-3</v>
      </c>
      <c r="L13" s="10">
        <v>0.94</v>
      </c>
      <c r="N13">
        <f>N$5*$Z13</f>
        <v>-0.10149999999999999</v>
      </c>
      <c r="O13" s="10">
        <v>0.94</v>
      </c>
      <c r="Q13">
        <f>Q$5*$Z13</f>
        <v>-6.649999999999999E-2</v>
      </c>
      <c r="R13" s="10">
        <v>0.94</v>
      </c>
      <c r="T13">
        <f>T$5*$Z13</f>
        <v>0.1295</v>
      </c>
      <c r="U13" s="10">
        <v>0.94</v>
      </c>
      <c r="W13">
        <f>W$5*$Z13</f>
        <v>-5.9499999999999997E-2</v>
      </c>
      <c r="X13" s="10">
        <v>0.94</v>
      </c>
      <c r="Z13">
        <v>-0.35</v>
      </c>
      <c r="AA13" s="2">
        <f t="shared" si="2"/>
        <v>0.93674969975975975</v>
      </c>
    </row>
    <row r="14" spans="1:27" ht="21" customHeight="1" x14ac:dyDescent="0.2">
      <c r="A14" s="9" t="s">
        <v>23</v>
      </c>
      <c r="B14">
        <f>B$5*$Z14</f>
        <v>0.183</v>
      </c>
      <c r="C14" s="2">
        <f t="shared" si="0"/>
        <v>0.95393920141694566</v>
      </c>
      <c r="E14">
        <f>E$5*$Z14</f>
        <v>-0.126</v>
      </c>
      <c r="F14" s="2">
        <f t="shared" si="1"/>
        <v>0.95393920141694566</v>
      </c>
      <c r="H14">
        <f>H$5*$Z14</f>
        <v>0.10200000000000001</v>
      </c>
      <c r="I14" s="10">
        <v>0.95</v>
      </c>
      <c r="K14">
        <f>K$5*$Z14</f>
        <v>-6.0000000000000001E-3</v>
      </c>
      <c r="L14" s="10">
        <v>0.95</v>
      </c>
      <c r="N14">
        <f>N$5*$Z14</f>
        <v>8.6999999999999994E-2</v>
      </c>
      <c r="O14" s="10">
        <v>0.95</v>
      </c>
      <c r="Q14">
        <f>Q$5*$Z14</f>
        <v>5.6999999999999995E-2</v>
      </c>
      <c r="R14" s="10">
        <v>0.95</v>
      </c>
      <c r="T14">
        <f>T$5*$Z14</f>
        <v>-0.111</v>
      </c>
      <c r="U14" s="10">
        <v>0.95</v>
      </c>
      <c r="W14">
        <f>W$5*$Z14</f>
        <v>5.1000000000000004E-2</v>
      </c>
      <c r="X14" s="10">
        <v>0.95</v>
      </c>
      <c r="Z14">
        <v>0.3</v>
      </c>
      <c r="AA14" s="2">
        <f t="shared" si="2"/>
        <v>0.95393920141694566</v>
      </c>
    </row>
    <row r="15" spans="1:27" ht="19" customHeight="1" x14ac:dyDescent="0.2">
      <c r="A15" s="11" t="s">
        <v>24</v>
      </c>
      <c r="B15">
        <f>B$5*$Z15</f>
        <v>0.1525</v>
      </c>
      <c r="C15" s="2">
        <f t="shared" si="0"/>
        <v>0.96824583655185426</v>
      </c>
      <c r="E15">
        <f>E$5*$Z15</f>
        <v>-0.105</v>
      </c>
      <c r="F15" s="2">
        <f>$AA15</f>
        <v>0.96824583655185426</v>
      </c>
      <c r="H15">
        <f>H$5*$Z15</f>
        <v>8.5000000000000006E-2</v>
      </c>
      <c r="I15" s="10">
        <v>0.97</v>
      </c>
      <c r="K15">
        <f>K$5*$Z15</f>
        <v>-5.0000000000000001E-3</v>
      </c>
      <c r="L15" s="10">
        <v>0.97</v>
      </c>
      <c r="N15">
        <f>N$5*$Z15</f>
        <v>7.2499999999999995E-2</v>
      </c>
      <c r="O15" s="10">
        <v>0.97</v>
      </c>
      <c r="Q15">
        <f>Q$5*$Z15</f>
        <v>4.7500000000000001E-2</v>
      </c>
      <c r="R15" s="10">
        <v>0.97</v>
      </c>
      <c r="T15">
        <f>T$5*$Z15</f>
        <v>-9.2499999999999999E-2</v>
      </c>
      <c r="U15" s="10">
        <v>0.97</v>
      </c>
      <c r="W15">
        <f>W$5*$Z15</f>
        <v>4.2500000000000003E-2</v>
      </c>
      <c r="X15" s="10">
        <v>0.97</v>
      </c>
      <c r="Z15">
        <v>0.25</v>
      </c>
      <c r="AA15" s="2">
        <f t="shared" si="2"/>
        <v>0.96824583655185426</v>
      </c>
    </row>
  </sheetData>
  <mergeCells count="24">
    <mergeCell ref="T1:V1"/>
    <mergeCell ref="W1:Y1"/>
    <mergeCell ref="B3:D3"/>
    <mergeCell ref="E3:G3"/>
    <mergeCell ref="H3:J3"/>
    <mergeCell ref="K3:M3"/>
    <mergeCell ref="N3:P3"/>
    <mergeCell ref="Q3:S3"/>
    <mergeCell ref="T3:V3"/>
    <mergeCell ref="W3:Y3"/>
    <mergeCell ref="B1:D1"/>
    <mergeCell ref="E1:G1"/>
    <mergeCell ref="H1:J1"/>
    <mergeCell ref="K1:M1"/>
    <mergeCell ref="N1:P1"/>
    <mergeCell ref="Q1:S1"/>
    <mergeCell ref="T4:V4"/>
    <mergeCell ref="W4:Y4"/>
    <mergeCell ref="B4:D4"/>
    <mergeCell ref="E4:G4"/>
    <mergeCell ref="H4:J4"/>
    <mergeCell ref="K4:M4"/>
    <mergeCell ref="N4:P4"/>
    <mergeCell ref="Q4:S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Meier</dc:creator>
  <cp:lastModifiedBy>Henry Meier</cp:lastModifiedBy>
  <dcterms:created xsi:type="dcterms:W3CDTF">2026-08-14T00:07:19Z</dcterms:created>
  <dcterms:modified xsi:type="dcterms:W3CDTF">2026-08-14T00:21:18Z</dcterms:modified>
</cp:coreProperties>
</file>